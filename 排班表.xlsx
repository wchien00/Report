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仁愛、安和、大直" sheetId="1" r:id="rId5"/>
    <sheet state="visible" name="中山、南京" sheetId="2" r:id="rId6"/>
    <sheet state="visible" name="設定" sheetId="3" r:id="rId7"/>
  </sheets>
  <definedNames/>
  <calcPr/>
</workbook>
</file>

<file path=xl/sharedStrings.xml><?xml version="1.0" encoding="utf-8"?>
<sst xmlns="http://schemas.openxmlformats.org/spreadsheetml/2006/main" count="275" uniqueCount="38">
  <si>
    <t>館別</t>
  </si>
  <si>
    <t>姓名</t>
  </si>
  <si>
    <t>仁愛</t>
  </si>
  <si>
    <t>呂筱婷</t>
  </si>
  <si>
    <t>●</t>
  </si>
  <si>
    <t>休</t>
  </si>
  <si>
    <t>郭麗芳(代)</t>
  </si>
  <si>
    <t>溫瑞萍</t>
  </si>
  <si>
    <t>消</t>
  </si>
  <si>
    <t>瑞珍</t>
  </si>
  <si>
    <t>仁愛2</t>
  </si>
  <si>
    <t>愛玉</t>
  </si>
  <si>
    <t>安和</t>
  </si>
  <si>
    <t>邱啟翔</t>
  </si>
  <si>
    <t>林珮琳(代)</t>
  </si>
  <si>
    <t>溫瑞萍(代)</t>
  </si>
  <si>
    <t>呂筱婷(代)</t>
  </si>
  <si>
    <t>大直</t>
  </si>
  <si>
    <t>陳淑美</t>
  </si>
  <si>
    <t>中山</t>
  </si>
  <si>
    <t>彭靖惠(早)</t>
  </si>
  <si>
    <t>全</t>
  </si>
  <si>
    <t>阿秋(晚)</t>
  </si>
  <si>
    <t>早</t>
  </si>
  <si>
    <t>紅河(代)</t>
  </si>
  <si>
    <t>晚</t>
  </si>
  <si>
    <t>南京</t>
  </si>
  <si>
    <t>劉韋彤</t>
  </si>
  <si>
    <t>劉映彤(代)</t>
  </si>
  <si>
    <t>黃名慈(代)</t>
  </si>
  <si>
    <t>星期</t>
  </si>
  <si>
    <t>星期三</t>
  </si>
  <si>
    <t>星期四</t>
  </si>
  <si>
    <t>星期五</t>
  </si>
  <si>
    <t>星期六</t>
  </si>
  <si>
    <t>星期日</t>
  </si>
  <si>
    <t>星期一</t>
  </si>
  <si>
    <t>星期二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</si>
</sst>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8.0"/>
      <color theme="1"/>
      <name val="Arial"/>
      <scheme val="minor"/>
    </font>
    <font/>
    <font>
      <b/>
      <sz val="26.0"/>
      <color theme="1"/>
      <name val="Arial"/>
      <scheme val="minor"/>
    </font>
    <font>
      <b/>
      <sz val="26.0"/>
      <color theme="1"/>
      <name val="Arial"/>
    </font>
    <font>
      <b/>
      <sz val="24.0"/>
      <color theme="1"/>
      <name val="Arial"/>
      <scheme val="minor"/>
    </font>
    <font>
      <b/>
      <sz val="22.0"/>
      <color theme="1"/>
      <name val="Arial"/>
    </font>
    <font>
      <sz val="50.0"/>
      <color theme="1"/>
      <name val="Arial"/>
    </font>
    <font>
      <sz val="50.0"/>
      <color theme="1"/>
      <name val="Arial"/>
      <scheme val="minor"/>
    </font>
    <font>
      <color theme="1"/>
      <name val="Arial"/>
      <scheme val="minor"/>
    </font>
    <font>
      <b/>
      <sz val="36.0"/>
      <color theme="1"/>
      <name val="Arial"/>
    </font>
    <font>
      <color theme="1"/>
      <name val="Arial"/>
    </font>
    <font>
      <b/>
      <sz val="30.0"/>
      <color theme="1"/>
      <name val="Arial"/>
    </font>
    <font>
      <b/>
      <sz val="24.0"/>
      <color theme="1"/>
      <name val="Arial"/>
    </font>
    <font>
      <sz val="25.0"/>
      <color theme="1"/>
      <name val="Arial"/>
    </font>
    <font>
      <b/>
      <sz val="25.0"/>
      <color theme="1"/>
      <name val="Arial"/>
    </font>
    <font>
      <b/>
      <sz val="35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2" numFmtId="0" xfId="0" applyBorder="1" applyFont="1"/>
    <xf borderId="6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8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center"/>
    </xf>
    <xf borderId="6" fillId="0" fontId="5" numFmtId="0" xfId="0" applyAlignment="1" applyBorder="1" applyFont="1">
      <alignment horizontal="center" vertical="center"/>
    </xf>
    <xf borderId="6" fillId="0" fontId="9" numFmtId="0" xfId="0" applyBorder="1" applyFont="1"/>
    <xf borderId="6" fillId="0" fontId="6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/>
    </xf>
    <xf borderId="6" fillId="0" fontId="11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/>
    </xf>
    <xf borderId="6" fillId="0" fontId="11" numFmtId="0" xfId="0" applyBorder="1" applyFont="1"/>
    <xf borderId="6" fillId="0" fontId="1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11" numFmtId="0" xfId="0" applyBorder="1" applyFont="1"/>
    <xf borderId="6" fillId="0" fontId="14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6" fillId="0" fontId="13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8.13"/>
    <col customWidth="1" min="3" max="34" width="7.13"/>
  </cols>
  <sheetData>
    <row r="1" ht="31.5" customHeight="1">
      <c r="A1" s="1" t="str">
        <f>'設定'!B7</f>
        <v>悅禾莊園Spa 7月 班表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4"/>
    </row>
    <row r="2" ht="33.75" customHeight="1">
      <c r="A2" s="5" t="s">
        <v>0</v>
      </c>
      <c r="B2" s="5" t="s">
        <v>1</v>
      </c>
      <c r="C2" s="6">
        <f>'設定'!C4</f>
        <v>1</v>
      </c>
      <c r="D2" s="6">
        <f>'設定'!D4</f>
        <v>2</v>
      </c>
      <c r="E2" s="6">
        <f>'設定'!E4</f>
        <v>3</v>
      </c>
      <c r="F2" s="6">
        <f>'設定'!F4</f>
        <v>4</v>
      </c>
      <c r="G2" s="6">
        <f>'設定'!G4</f>
        <v>5</v>
      </c>
      <c r="H2" s="6">
        <f>'設定'!H4</f>
        <v>6</v>
      </c>
      <c r="I2" s="6">
        <f>'設定'!I4</f>
        <v>7</v>
      </c>
      <c r="J2" s="6">
        <f>'設定'!J4</f>
        <v>8</v>
      </c>
      <c r="K2" s="6">
        <f>'設定'!K4</f>
        <v>9</v>
      </c>
      <c r="L2" s="6">
        <f>'設定'!L4</f>
        <v>10</v>
      </c>
      <c r="M2" s="6">
        <f>'設定'!M4</f>
        <v>11</v>
      </c>
      <c r="N2" s="6">
        <f>'設定'!N4</f>
        <v>12</v>
      </c>
      <c r="O2" s="6">
        <f>'設定'!O4</f>
        <v>13</v>
      </c>
      <c r="P2" s="6">
        <f>'設定'!P4</f>
        <v>14</v>
      </c>
      <c r="Q2" s="6">
        <f>'設定'!Q4</f>
        <v>15</v>
      </c>
      <c r="R2" s="6">
        <f>'設定'!R4</f>
        <v>16</v>
      </c>
      <c r="S2" s="6">
        <f>'設定'!S4</f>
        <v>17</v>
      </c>
      <c r="T2" s="6">
        <f>'設定'!T4</f>
        <v>18</v>
      </c>
      <c r="U2" s="6">
        <f>'設定'!U4</f>
        <v>19</v>
      </c>
      <c r="V2" s="6">
        <f>'設定'!V4</f>
        <v>20</v>
      </c>
      <c r="W2" s="6">
        <f>'設定'!W4</f>
        <v>21</v>
      </c>
      <c r="X2" s="6">
        <f>'設定'!X4</f>
        <v>22</v>
      </c>
      <c r="Y2" s="6">
        <f>'設定'!Y4</f>
        <v>23</v>
      </c>
      <c r="Z2" s="6">
        <f>'設定'!Z4</f>
        <v>24</v>
      </c>
      <c r="AA2" s="6">
        <f>'設定'!AA4</f>
        <v>25</v>
      </c>
      <c r="AB2" s="6">
        <f>'設定'!AB4</f>
        <v>26</v>
      </c>
      <c r="AC2" s="6">
        <f>'設定'!AC4</f>
        <v>27</v>
      </c>
      <c r="AD2" s="6">
        <f>'設定'!AD4</f>
        <v>28</v>
      </c>
      <c r="AE2" s="6">
        <f>'設定'!AE4</f>
        <v>29</v>
      </c>
      <c r="AF2" s="6">
        <f>'設定'!AF4</f>
        <v>30</v>
      </c>
      <c r="AG2" s="6">
        <f>'設定'!AG4</f>
        <v>31</v>
      </c>
      <c r="AH2" s="7"/>
    </row>
    <row r="3" ht="36.75" customHeight="1">
      <c r="A3" s="8"/>
      <c r="B3" s="8"/>
      <c r="C3" s="6" t="str">
        <f>'設定'!C5</f>
        <v>三</v>
      </c>
      <c r="D3" s="6" t="str">
        <f>'設定'!D5</f>
        <v>四</v>
      </c>
      <c r="E3" s="6" t="str">
        <f>'設定'!E5</f>
        <v>五</v>
      </c>
      <c r="F3" s="6" t="str">
        <f>'設定'!F5</f>
        <v>六</v>
      </c>
      <c r="G3" s="6" t="str">
        <f>'設定'!G5</f>
        <v>日</v>
      </c>
      <c r="H3" s="6" t="str">
        <f>'設定'!H5</f>
        <v>一</v>
      </c>
      <c r="I3" s="6" t="str">
        <f>'設定'!I5</f>
        <v>二</v>
      </c>
      <c r="J3" s="6" t="str">
        <f>'設定'!J5</f>
        <v>三</v>
      </c>
      <c r="K3" s="6" t="str">
        <f>'設定'!K5</f>
        <v>四</v>
      </c>
      <c r="L3" s="6" t="str">
        <f>'設定'!L5</f>
        <v>五</v>
      </c>
      <c r="M3" s="6" t="str">
        <f>'設定'!M5</f>
        <v>六</v>
      </c>
      <c r="N3" s="6" t="str">
        <f>'設定'!N5</f>
        <v>日</v>
      </c>
      <c r="O3" s="6" t="str">
        <f>'設定'!O5</f>
        <v>一</v>
      </c>
      <c r="P3" s="6" t="str">
        <f>'設定'!P5</f>
        <v>二</v>
      </c>
      <c r="Q3" s="6" t="str">
        <f>'設定'!Q5</f>
        <v>三</v>
      </c>
      <c r="R3" s="6" t="str">
        <f>'設定'!R5</f>
        <v>四</v>
      </c>
      <c r="S3" s="6" t="str">
        <f>'設定'!S5</f>
        <v>五</v>
      </c>
      <c r="T3" s="6" t="str">
        <f>'設定'!T5</f>
        <v>六</v>
      </c>
      <c r="U3" s="6" t="str">
        <f>'設定'!U5</f>
        <v>日</v>
      </c>
      <c r="V3" s="6" t="str">
        <f>'設定'!V5</f>
        <v>一</v>
      </c>
      <c r="W3" s="6" t="str">
        <f>'設定'!W5</f>
        <v>二</v>
      </c>
      <c r="X3" s="6" t="str">
        <f>'設定'!X5</f>
        <v>三</v>
      </c>
      <c r="Y3" s="6" t="str">
        <f>'設定'!Y5</f>
        <v>四</v>
      </c>
      <c r="Z3" s="6" t="str">
        <f>'設定'!Z5</f>
        <v>五</v>
      </c>
      <c r="AA3" s="6" t="str">
        <f>'設定'!AA5</f>
        <v>六</v>
      </c>
      <c r="AB3" s="6" t="str">
        <f>'設定'!AB5</f>
        <v>日</v>
      </c>
      <c r="AC3" s="6" t="str">
        <f>'設定'!AC5</f>
        <v>一</v>
      </c>
      <c r="AD3" s="6" t="str">
        <f>'設定'!AD5</f>
        <v>二</v>
      </c>
      <c r="AE3" s="6" t="str">
        <f>'設定'!AE5</f>
        <v>三</v>
      </c>
      <c r="AF3" s="6" t="str">
        <f>'設定'!AF5</f>
        <v>四</v>
      </c>
      <c r="AG3" s="6" t="str">
        <f>'設定'!AG5</f>
        <v>五</v>
      </c>
      <c r="AH3" s="9"/>
    </row>
    <row r="4" ht="48.75" customHeight="1">
      <c r="A4" s="10" t="s">
        <v>2</v>
      </c>
      <c r="B4" s="10" t="s">
        <v>3</v>
      </c>
      <c r="C4" s="11"/>
      <c r="D4" s="12"/>
      <c r="E4" s="12"/>
      <c r="F4" s="12"/>
      <c r="G4" s="13" t="s">
        <v>4</v>
      </c>
      <c r="H4" s="12"/>
      <c r="I4" s="12"/>
      <c r="J4" s="14"/>
      <c r="K4" s="12"/>
      <c r="L4" s="13" t="s">
        <v>4</v>
      </c>
      <c r="M4" s="13" t="s">
        <v>4</v>
      </c>
      <c r="N4" s="13" t="s">
        <v>4</v>
      </c>
      <c r="O4" s="11" t="s">
        <v>5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13" t="s">
        <v>4</v>
      </c>
      <c r="V4" s="11" t="s">
        <v>5</v>
      </c>
      <c r="W4" s="13" t="s">
        <v>4</v>
      </c>
      <c r="X4" s="13" t="s">
        <v>4</v>
      </c>
      <c r="Y4" s="13" t="s">
        <v>4</v>
      </c>
      <c r="Z4" s="13" t="s">
        <v>4</v>
      </c>
      <c r="AA4" s="13" t="s">
        <v>4</v>
      </c>
      <c r="AB4" s="13" t="s">
        <v>4</v>
      </c>
      <c r="AC4" s="11" t="s">
        <v>5</v>
      </c>
      <c r="AD4" s="13" t="s">
        <v>4</v>
      </c>
      <c r="AE4" s="13" t="s">
        <v>4</v>
      </c>
      <c r="AF4" s="13" t="s">
        <v>4</v>
      </c>
      <c r="AG4" s="13" t="s">
        <v>4</v>
      </c>
      <c r="AH4" s="15"/>
    </row>
    <row r="5" ht="48.75" customHeight="1">
      <c r="A5" s="10"/>
      <c r="B5" s="10" t="s">
        <v>6</v>
      </c>
      <c r="C5" s="13"/>
      <c r="D5" s="13"/>
      <c r="E5" s="13"/>
      <c r="F5" s="13"/>
      <c r="G5" s="13"/>
      <c r="H5" s="13"/>
      <c r="I5" s="13"/>
      <c r="J5" s="12"/>
      <c r="K5" s="13"/>
      <c r="L5" s="13"/>
      <c r="M5" s="13"/>
      <c r="N5" s="13"/>
      <c r="O5" s="13"/>
      <c r="P5" s="13"/>
      <c r="Q5" s="12"/>
      <c r="R5" s="13"/>
      <c r="S5" s="13"/>
      <c r="T5" s="13"/>
      <c r="U5" s="13"/>
      <c r="V5" s="13"/>
      <c r="W5" s="13"/>
      <c r="X5" s="12"/>
      <c r="Y5" s="13"/>
      <c r="Z5" s="13"/>
      <c r="AA5" s="13"/>
      <c r="AB5" s="13"/>
      <c r="AC5" s="13"/>
      <c r="AD5" s="13"/>
      <c r="AE5" s="12"/>
      <c r="AF5" s="13"/>
      <c r="AG5" s="13"/>
    </row>
    <row r="6" ht="48.75" customHeight="1">
      <c r="A6" s="16"/>
      <c r="B6" s="10" t="s">
        <v>7</v>
      </c>
      <c r="C6" s="17"/>
      <c r="D6" s="17"/>
      <c r="E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9" t="s">
        <v>8</v>
      </c>
      <c r="T6" s="17"/>
      <c r="U6" s="19"/>
      <c r="V6" s="19"/>
      <c r="W6" s="19"/>
      <c r="X6" s="19"/>
      <c r="Y6" s="19"/>
      <c r="Z6" s="19"/>
      <c r="AA6" s="19"/>
      <c r="AB6" s="17"/>
      <c r="AC6" s="17"/>
      <c r="AD6" s="17"/>
      <c r="AE6" s="17"/>
      <c r="AF6" s="17"/>
      <c r="AG6" s="17"/>
    </row>
    <row r="7" ht="48.75" customHeight="1">
      <c r="A7" s="17"/>
      <c r="B7" s="10" t="s">
        <v>9</v>
      </c>
      <c r="C7" s="13" t="s">
        <v>4</v>
      </c>
      <c r="D7" s="13" t="s">
        <v>4</v>
      </c>
      <c r="E7" s="13" t="s">
        <v>4</v>
      </c>
      <c r="F7" s="13" t="s">
        <v>4</v>
      </c>
      <c r="G7" s="17"/>
      <c r="H7" s="13" t="s">
        <v>4</v>
      </c>
      <c r="I7" s="13" t="s">
        <v>4</v>
      </c>
      <c r="J7" s="13" t="s">
        <v>4</v>
      </c>
      <c r="K7" s="13" t="s">
        <v>4</v>
      </c>
      <c r="L7" s="13"/>
      <c r="M7" s="17"/>
      <c r="N7" s="17"/>
      <c r="O7" s="13" t="s">
        <v>4</v>
      </c>
      <c r="P7" s="17"/>
      <c r="Q7" s="17"/>
      <c r="R7" s="17"/>
      <c r="S7" s="17"/>
      <c r="T7" s="17"/>
      <c r="U7" s="17"/>
      <c r="V7" s="13" t="s">
        <v>4</v>
      </c>
      <c r="W7" s="17"/>
      <c r="X7" s="17"/>
      <c r="Y7" s="17"/>
      <c r="Z7" s="17"/>
      <c r="AA7" s="17"/>
      <c r="AB7" s="17"/>
      <c r="AC7" s="13" t="s">
        <v>4</v>
      </c>
      <c r="AD7" s="17"/>
      <c r="AE7" s="17"/>
      <c r="AF7" s="17"/>
      <c r="AG7" s="17"/>
    </row>
    <row r="8" ht="48.75" customHeight="1">
      <c r="A8" s="10" t="s">
        <v>10</v>
      </c>
      <c r="B8" s="10" t="s">
        <v>11</v>
      </c>
      <c r="C8" s="17"/>
      <c r="D8" s="17"/>
      <c r="E8" s="17"/>
      <c r="F8" s="19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  <c r="S8" s="19" t="s">
        <v>8</v>
      </c>
      <c r="T8" s="17"/>
      <c r="U8" s="17"/>
      <c r="V8" s="19"/>
      <c r="W8" s="17"/>
      <c r="X8" s="19"/>
      <c r="Y8" s="19"/>
      <c r="Z8" s="19"/>
      <c r="AA8" s="19"/>
      <c r="AB8" s="17"/>
      <c r="AC8" s="17"/>
      <c r="AD8" s="17"/>
      <c r="AE8" s="17"/>
      <c r="AF8" s="17"/>
      <c r="AG8" s="17"/>
    </row>
    <row r="9" ht="48.75" customHeight="1">
      <c r="A9" s="10" t="s">
        <v>12</v>
      </c>
      <c r="B9" s="10" t="s">
        <v>13</v>
      </c>
      <c r="C9" s="11" t="s">
        <v>5</v>
      </c>
      <c r="D9" s="13" t="s">
        <v>4</v>
      </c>
      <c r="E9" s="11" t="s">
        <v>5</v>
      </c>
      <c r="F9" s="11" t="s">
        <v>5</v>
      </c>
      <c r="G9" s="11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3" t="s">
        <v>4</v>
      </c>
      <c r="M9" s="20" t="s">
        <v>5</v>
      </c>
      <c r="N9" s="11" t="s">
        <v>5</v>
      </c>
      <c r="O9" s="13" t="s">
        <v>4</v>
      </c>
      <c r="P9" s="11" t="s">
        <v>5</v>
      </c>
      <c r="Q9" s="13" t="s">
        <v>4</v>
      </c>
      <c r="R9" s="13" t="s">
        <v>4</v>
      </c>
      <c r="S9" s="13" t="s">
        <v>4</v>
      </c>
      <c r="T9" s="20" t="s">
        <v>5</v>
      </c>
      <c r="U9" s="20" t="s">
        <v>5</v>
      </c>
      <c r="V9" s="13" t="s">
        <v>4</v>
      </c>
      <c r="W9" s="13" t="s">
        <v>4</v>
      </c>
      <c r="X9" s="13" t="s">
        <v>4</v>
      </c>
      <c r="Y9" s="13" t="s">
        <v>4</v>
      </c>
      <c r="Z9" s="20" t="s">
        <v>5</v>
      </c>
      <c r="AA9" s="13" t="s">
        <v>4</v>
      </c>
      <c r="AB9" s="20" t="s">
        <v>5</v>
      </c>
      <c r="AC9" s="13" t="s">
        <v>4</v>
      </c>
      <c r="AD9" s="13" t="s">
        <v>4</v>
      </c>
      <c r="AE9" s="13" t="s">
        <v>4</v>
      </c>
      <c r="AF9" s="13" t="s">
        <v>4</v>
      </c>
      <c r="AG9" s="13" t="s">
        <v>4</v>
      </c>
    </row>
    <row r="10" ht="48.75" customHeight="1">
      <c r="A10" s="16"/>
      <c r="B10" s="10" t="s">
        <v>14</v>
      </c>
      <c r="C10" s="13"/>
      <c r="D10" s="13"/>
      <c r="E10" s="13"/>
      <c r="F10" s="13"/>
      <c r="G10" s="13" t="s">
        <v>4</v>
      </c>
      <c r="H10" s="21"/>
      <c r="I10" s="13"/>
      <c r="J10" s="22"/>
      <c r="K10" s="22"/>
      <c r="L10" s="13"/>
      <c r="M10" s="21"/>
      <c r="N10" s="13" t="s">
        <v>4</v>
      </c>
      <c r="O10" s="21"/>
      <c r="P10" s="13"/>
      <c r="Q10" s="13"/>
      <c r="R10" s="18"/>
      <c r="S10" s="13"/>
      <c r="T10" s="22"/>
      <c r="U10" s="13" t="s">
        <v>4</v>
      </c>
      <c r="V10" s="13"/>
      <c r="W10" s="13"/>
      <c r="X10" s="13"/>
      <c r="Y10" s="23"/>
      <c r="Z10" s="13"/>
      <c r="AA10" s="22"/>
      <c r="AB10" s="13" t="s">
        <v>4</v>
      </c>
      <c r="AC10" s="22"/>
      <c r="AD10" s="13"/>
      <c r="AE10" s="13"/>
      <c r="AF10" s="13"/>
      <c r="AG10" s="13"/>
    </row>
    <row r="11" ht="48.75" customHeight="1">
      <c r="A11" s="16"/>
      <c r="B11" s="10" t="s">
        <v>15</v>
      </c>
      <c r="C11" s="13"/>
      <c r="D11" s="21"/>
      <c r="E11" s="22"/>
      <c r="F11" s="19"/>
      <c r="G11" s="13"/>
      <c r="H11" s="13"/>
      <c r="I11" s="19"/>
      <c r="J11" s="13"/>
      <c r="K11" s="19"/>
      <c r="L11" s="21"/>
      <c r="M11" s="13" t="s">
        <v>4</v>
      </c>
      <c r="N11" s="13"/>
      <c r="O11" s="13"/>
      <c r="P11" s="13"/>
      <c r="Q11" s="13"/>
      <c r="R11" s="13"/>
      <c r="S11" s="21"/>
      <c r="T11" s="13" t="s">
        <v>4</v>
      </c>
      <c r="U11" s="24"/>
      <c r="V11" s="13"/>
      <c r="W11" s="22"/>
      <c r="X11" s="22"/>
      <c r="Y11" s="13"/>
      <c r="Z11" s="13" t="s">
        <v>4</v>
      </c>
      <c r="AA11" s="13"/>
      <c r="AB11" s="21"/>
      <c r="AC11" s="13"/>
      <c r="AD11" s="22"/>
      <c r="AE11" s="13"/>
      <c r="AF11" s="13"/>
      <c r="AG11" s="13"/>
    </row>
    <row r="12" ht="48.75" customHeight="1">
      <c r="A12" s="16"/>
      <c r="B12" s="10" t="s">
        <v>16</v>
      </c>
      <c r="C12" s="13" t="s">
        <v>4</v>
      </c>
      <c r="D12" s="19" t="s">
        <v>8</v>
      </c>
      <c r="E12" s="13" t="s">
        <v>4</v>
      </c>
      <c r="F12" s="13" t="s">
        <v>4</v>
      </c>
      <c r="G12" s="19"/>
      <c r="H12" s="13" t="s">
        <v>4</v>
      </c>
      <c r="I12" s="13" t="s">
        <v>4</v>
      </c>
      <c r="J12" s="13" t="s">
        <v>4</v>
      </c>
      <c r="K12" s="13" t="s">
        <v>4</v>
      </c>
      <c r="L12" s="17"/>
      <c r="M12" s="22"/>
      <c r="N12" s="17"/>
      <c r="O12" s="17"/>
      <c r="P12" s="17"/>
      <c r="Q12" s="17"/>
      <c r="R12" s="18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3"/>
    </row>
    <row r="13" ht="48.75" customHeight="1">
      <c r="A13" s="10" t="s">
        <v>17</v>
      </c>
      <c r="B13" s="10" t="s">
        <v>18</v>
      </c>
      <c r="C13" s="13"/>
      <c r="D13" s="22"/>
      <c r="E13" s="22"/>
      <c r="F13" s="22" t="s">
        <v>4</v>
      </c>
      <c r="G13" s="22" t="s">
        <v>4</v>
      </c>
      <c r="H13" s="22"/>
      <c r="I13" s="22"/>
      <c r="J13" s="25"/>
      <c r="K13" s="22"/>
      <c r="L13" s="22"/>
      <c r="M13" s="22" t="s">
        <v>4</v>
      </c>
      <c r="N13" s="22" t="s">
        <v>4</v>
      </c>
      <c r="O13" s="22"/>
      <c r="P13" s="22"/>
      <c r="Q13" s="25"/>
      <c r="R13" s="22"/>
      <c r="S13" s="22"/>
      <c r="T13" s="22" t="s">
        <v>4</v>
      </c>
      <c r="U13" s="22" t="s">
        <v>4</v>
      </c>
      <c r="V13" s="22"/>
      <c r="W13" s="22"/>
      <c r="X13" s="25"/>
      <c r="Y13" s="22"/>
      <c r="Z13" s="22"/>
      <c r="AA13" s="22" t="s">
        <v>4</v>
      </c>
      <c r="AB13" s="22" t="s">
        <v>4</v>
      </c>
      <c r="AC13" s="22"/>
      <c r="AD13" s="22"/>
      <c r="AE13" s="25"/>
      <c r="AF13" s="22"/>
      <c r="AG13" s="22"/>
      <c r="AH13" s="13"/>
    </row>
    <row r="14" ht="48.75" customHeight="1">
      <c r="A14" s="16"/>
      <c r="B14" s="10" t="s">
        <v>11</v>
      </c>
      <c r="C14" s="13"/>
      <c r="D14" s="12" t="s">
        <v>4</v>
      </c>
      <c r="E14" s="13"/>
      <c r="F14" s="12"/>
      <c r="G14" s="25"/>
      <c r="H14" s="25"/>
      <c r="I14" s="25"/>
      <c r="J14" s="25"/>
      <c r="K14" s="12" t="s">
        <v>4</v>
      </c>
      <c r="L14" s="13"/>
      <c r="M14" s="12"/>
      <c r="N14" s="25"/>
      <c r="O14" s="21"/>
      <c r="P14" s="21"/>
      <c r="Q14" s="25"/>
      <c r="R14" s="12" t="s">
        <v>4</v>
      </c>
      <c r="S14" s="13"/>
      <c r="T14" s="12"/>
      <c r="U14" s="25"/>
      <c r="V14" s="21"/>
      <c r="W14" s="21"/>
      <c r="X14" s="25"/>
      <c r="Y14" s="12" t="s">
        <v>4</v>
      </c>
      <c r="Z14" s="13"/>
      <c r="AA14" s="12"/>
      <c r="AB14" s="25"/>
      <c r="AC14" s="21"/>
      <c r="AD14" s="21"/>
      <c r="AE14" s="25"/>
      <c r="AF14" s="12" t="s">
        <v>4</v>
      </c>
      <c r="AG14" s="25"/>
    </row>
    <row r="15" ht="48.75" customHeight="1">
      <c r="A15" s="17"/>
      <c r="B15" s="10" t="s">
        <v>15</v>
      </c>
      <c r="C15" s="17"/>
      <c r="D15" s="17"/>
      <c r="E15" s="17"/>
      <c r="F15" s="17"/>
      <c r="G15" s="17"/>
      <c r="H15" s="17"/>
      <c r="I15" s="13"/>
      <c r="J15" s="13"/>
      <c r="K15" s="13"/>
      <c r="L15" s="13"/>
      <c r="M15" s="17"/>
      <c r="N15" s="17"/>
      <c r="O15" s="17"/>
      <c r="P15" s="17"/>
      <c r="Q15" s="17"/>
      <c r="R15" s="18"/>
      <c r="S15" s="17"/>
      <c r="T15" s="19"/>
      <c r="U15" s="22"/>
      <c r="V15" s="19"/>
      <c r="W15" s="26"/>
      <c r="X15" s="17"/>
      <c r="Y15" s="19"/>
      <c r="Z15" s="17"/>
      <c r="AA15" s="17"/>
      <c r="AB15" s="17"/>
      <c r="AC15" s="17"/>
      <c r="AD15" s="17"/>
      <c r="AE15" s="17"/>
      <c r="AF15" s="17"/>
      <c r="AG15" s="17"/>
    </row>
    <row r="16" ht="48.75" customHeight="1">
      <c r="A16" s="17"/>
      <c r="B16" s="10" t="s">
        <v>11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9" t="s">
        <v>8</v>
      </c>
      <c r="S16" s="19"/>
      <c r="T16" s="19"/>
      <c r="U16" s="19"/>
      <c r="V16" s="19"/>
      <c r="W16" s="19"/>
      <c r="X16" s="19"/>
      <c r="Y16" s="19"/>
      <c r="Z16" s="19"/>
      <c r="AA16" s="12"/>
      <c r="AB16" s="17"/>
      <c r="AC16" s="17"/>
      <c r="AD16" s="17"/>
      <c r="AE16" s="17"/>
      <c r="AF16" s="17"/>
      <c r="AG16" s="17"/>
    </row>
    <row r="17" ht="48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ht="48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ht="48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ht="48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ht="48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</sheetData>
  <mergeCells count="3">
    <mergeCell ref="A1:AG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9.13"/>
    <col customWidth="1" min="3" max="33" width="5.88"/>
  </cols>
  <sheetData>
    <row r="1">
      <c r="A1" s="1" t="str">
        <f>'設定'!B7</f>
        <v>悅禾莊園Spa 7月 班表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27" t="s">
        <v>0</v>
      </c>
      <c r="B2" s="27" t="s">
        <v>1</v>
      </c>
      <c r="C2" s="6">
        <f>'設定'!C4</f>
        <v>1</v>
      </c>
      <c r="D2" s="6">
        <f>'設定'!D4</f>
        <v>2</v>
      </c>
      <c r="E2" s="6">
        <f>'設定'!E4</f>
        <v>3</v>
      </c>
      <c r="F2" s="6">
        <f>'設定'!F4</f>
        <v>4</v>
      </c>
      <c r="G2" s="6">
        <f>'設定'!G4</f>
        <v>5</v>
      </c>
      <c r="H2" s="6">
        <f>'設定'!H4</f>
        <v>6</v>
      </c>
      <c r="I2" s="6">
        <f>'設定'!I4</f>
        <v>7</v>
      </c>
      <c r="J2" s="6">
        <f>'設定'!J4</f>
        <v>8</v>
      </c>
      <c r="K2" s="6">
        <f>'設定'!K4</f>
        <v>9</v>
      </c>
      <c r="L2" s="6">
        <f>'設定'!L4</f>
        <v>10</v>
      </c>
      <c r="M2" s="6">
        <f>'設定'!M4</f>
        <v>11</v>
      </c>
      <c r="N2" s="6">
        <f>'設定'!N4</f>
        <v>12</v>
      </c>
      <c r="O2" s="6">
        <f>'設定'!O4</f>
        <v>13</v>
      </c>
      <c r="P2" s="6">
        <f>'設定'!P4</f>
        <v>14</v>
      </c>
      <c r="Q2" s="6">
        <f>'設定'!Q4</f>
        <v>15</v>
      </c>
      <c r="R2" s="6">
        <f>'設定'!R4</f>
        <v>16</v>
      </c>
      <c r="S2" s="6">
        <f>'設定'!S4</f>
        <v>17</v>
      </c>
      <c r="T2" s="6">
        <f>'設定'!T4</f>
        <v>18</v>
      </c>
      <c r="U2" s="6">
        <f>'設定'!U4</f>
        <v>19</v>
      </c>
      <c r="V2" s="6">
        <f>'設定'!V4</f>
        <v>20</v>
      </c>
      <c r="W2" s="6">
        <f>'設定'!W4</f>
        <v>21</v>
      </c>
      <c r="X2" s="6">
        <f>'設定'!X4</f>
        <v>22</v>
      </c>
      <c r="Y2" s="6">
        <f>'設定'!Y4</f>
        <v>23</v>
      </c>
      <c r="Z2" s="6">
        <f>'設定'!Z4</f>
        <v>24</v>
      </c>
      <c r="AA2" s="6">
        <f>'設定'!AA4</f>
        <v>25</v>
      </c>
      <c r="AB2" s="6">
        <f>'設定'!AB4</f>
        <v>26</v>
      </c>
      <c r="AC2" s="6">
        <f>'設定'!AC4</f>
        <v>27</v>
      </c>
      <c r="AD2" s="6">
        <f>'設定'!AD4</f>
        <v>28</v>
      </c>
      <c r="AE2" s="6">
        <f>'設定'!AE4</f>
        <v>29</v>
      </c>
      <c r="AF2" s="6">
        <f>'設定'!AF4</f>
        <v>30</v>
      </c>
      <c r="AG2" s="6">
        <f>'設定'!AG4</f>
        <v>31</v>
      </c>
    </row>
    <row r="3">
      <c r="A3" s="8"/>
      <c r="B3" s="8"/>
      <c r="C3" s="6" t="str">
        <f>'設定'!C5</f>
        <v>三</v>
      </c>
      <c r="D3" s="6" t="str">
        <f>'設定'!D5</f>
        <v>四</v>
      </c>
      <c r="E3" s="6" t="str">
        <f>'設定'!E5</f>
        <v>五</v>
      </c>
      <c r="F3" s="6" t="str">
        <f>'設定'!F5</f>
        <v>六</v>
      </c>
      <c r="G3" s="6" t="str">
        <f>'設定'!G5</f>
        <v>日</v>
      </c>
      <c r="H3" s="6" t="str">
        <f>'設定'!H5</f>
        <v>一</v>
      </c>
      <c r="I3" s="6" t="str">
        <f>'設定'!I5</f>
        <v>二</v>
      </c>
      <c r="J3" s="6" t="str">
        <f>'設定'!J5</f>
        <v>三</v>
      </c>
      <c r="K3" s="6" t="str">
        <f>'設定'!K5</f>
        <v>四</v>
      </c>
      <c r="L3" s="6" t="str">
        <f>'設定'!L5</f>
        <v>五</v>
      </c>
      <c r="M3" s="6" t="str">
        <f>'設定'!M5</f>
        <v>六</v>
      </c>
      <c r="N3" s="6" t="str">
        <f>'設定'!N5</f>
        <v>日</v>
      </c>
      <c r="O3" s="6" t="str">
        <f>'設定'!O5</f>
        <v>一</v>
      </c>
      <c r="P3" s="6" t="str">
        <f>'設定'!P5</f>
        <v>二</v>
      </c>
      <c r="Q3" s="6" t="str">
        <f>'設定'!Q5</f>
        <v>三</v>
      </c>
      <c r="R3" s="6" t="str">
        <f>'設定'!R5</f>
        <v>四</v>
      </c>
      <c r="S3" s="6" t="str">
        <f>'設定'!S5</f>
        <v>五</v>
      </c>
      <c r="T3" s="6" t="str">
        <f>'設定'!T5</f>
        <v>六</v>
      </c>
      <c r="U3" s="6" t="str">
        <f>'設定'!U5</f>
        <v>日</v>
      </c>
      <c r="V3" s="6" t="str">
        <f>'設定'!V5</f>
        <v>一</v>
      </c>
      <c r="W3" s="6" t="str">
        <f>'設定'!W5</f>
        <v>二</v>
      </c>
      <c r="X3" s="6" t="str">
        <f>'設定'!X5</f>
        <v>三</v>
      </c>
      <c r="Y3" s="6" t="str">
        <f>'設定'!Y5</f>
        <v>四</v>
      </c>
      <c r="Z3" s="6" t="str">
        <f>'設定'!Z5</f>
        <v>五</v>
      </c>
      <c r="AA3" s="6" t="str">
        <f>'設定'!AA5</f>
        <v>六</v>
      </c>
      <c r="AB3" s="6" t="str">
        <f>'設定'!AB5</f>
        <v>日</v>
      </c>
      <c r="AC3" s="6" t="str">
        <f>'設定'!AC5</f>
        <v>一</v>
      </c>
      <c r="AD3" s="6" t="str">
        <f>'設定'!AD5</f>
        <v>二</v>
      </c>
      <c r="AE3" s="6" t="str">
        <f>'設定'!AE5</f>
        <v>三</v>
      </c>
      <c r="AF3" s="6" t="str">
        <f>'設定'!AF5</f>
        <v>四</v>
      </c>
      <c r="AG3" s="6" t="str">
        <f>'設定'!AG5</f>
        <v>五</v>
      </c>
    </row>
    <row r="4" ht="50.25" customHeight="1">
      <c r="A4" s="28" t="s">
        <v>19</v>
      </c>
      <c r="B4" s="11" t="s">
        <v>20</v>
      </c>
      <c r="C4" s="29" t="s">
        <v>4</v>
      </c>
      <c r="D4" s="11" t="s">
        <v>5</v>
      </c>
      <c r="E4" s="24" t="s">
        <v>21</v>
      </c>
      <c r="F4" s="29" t="s">
        <v>4</v>
      </c>
      <c r="G4" s="29" t="s">
        <v>4</v>
      </c>
      <c r="H4" s="29" t="s">
        <v>4</v>
      </c>
      <c r="I4" s="11" t="s">
        <v>5</v>
      </c>
      <c r="J4" s="24" t="s">
        <v>21</v>
      </c>
      <c r="K4" s="29" t="s">
        <v>4</v>
      </c>
      <c r="L4" s="29" t="s">
        <v>4</v>
      </c>
      <c r="M4" s="11" t="s">
        <v>5</v>
      </c>
      <c r="N4" s="29" t="s">
        <v>4</v>
      </c>
      <c r="O4" s="29" t="s">
        <v>4</v>
      </c>
      <c r="P4" s="29" t="s">
        <v>4</v>
      </c>
      <c r="Q4" s="11" t="s">
        <v>5</v>
      </c>
      <c r="R4" s="29" t="s">
        <v>4</v>
      </c>
      <c r="S4" s="29" t="s">
        <v>4</v>
      </c>
      <c r="T4" s="11" t="s">
        <v>5</v>
      </c>
      <c r="U4" s="24" t="s">
        <v>21</v>
      </c>
      <c r="V4" s="29" t="s">
        <v>4</v>
      </c>
      <c r="W4" s="29" t="s">
        <v>4</v>
      </c>
      <c r="X4" s="11" t="s">
        <v>5</v>
      </c>
      <c r="Y4" s="29" t="s">
        <v>4</v>
      </c>
      <c r="Z4" s="29" t="s">
        <v>4</v>
      </c>
      <c r="AA4" s="24" t="s">
        <v>21</v>
      </c>
      <c r="AB4" s="11" t="s">
        <v>5</v>
      </c>
      <c r="AC4" s="29" t="s">
        <v>4</v>
      </c>
      <c r="AD4" s="29" t="s">
        <v>4</v>
      </c>
      <c r="AE4" s="29" t="s">
        <v>4</v>
      </c>
      <c r="AF4" s="29" t="s">
        <v>4</v>
      </c>
      <c r="AG4" s="11" t="s">
        <v>5</v>
      </c>
    </row>
    <row r="5" ht="50.25" customHeight="1">
      <c r="A5" s="30"/>
      <c r="B5" s="11" t="s">
        <v>22</v>
      </c>
      <c r="C5" s="29" t="s">
        <v>4</v>
      </c>
      <c r="D5" s="11" t="s">
        <v>5</v>
      </c>
      <c r="E5" s="11" t="s">
        <v>5</v>
      </c>
      <c r="F5" s="29" t="s">
        <v>4</v>
      </c>
      <c r="G5" s="29" t="s">
        <v>4</v>
      </c>
      <c r="H5" s="29" t="s">
        <v>4</v>
      </c>
      <c r="I5" s="11" t="s">
        <v>5</v>
      </c>
      <c r="J5" s="11" t="s">
        <v>5</v>
      </c>
      <c r="K5" s="29" t="s">
        <v>4</v>
      </c>
      <c r="L5" s="29" t="s">
        <v>4</v>
      </c>
      <c r="M5" s="24" t="s">
        <v>21</v>
      </c>
      <c r="N5" s="11" t="s">
        <v>5</v>
      </c>
      <c r="O5" s="29" t="s">
        <v>4</v>
      </c>
      <c r="P5" s="29" t="s">
        <v>4</v>
      </c>
      <c r="Q5" s="24" t="s">
        <v>21</v>
      </c>
      <c r="R5" s="29" t="s">
        <v>4</v>
      </c>
      <c r="S5" s="29" t="s">
        <v>4</v>
      </c>
      <c r="T5" s="24" t="s">
        <v>21</v>
      </c>
      <c r="U5" s="11" t="s">
        <v>5</v>
      </c>
      <c r="V5" s="29" t="s">
        <v>4</v>
      </c>
      <c r="W5" s="29" t="s">
        <v>4</v>
      </c>
      <c r="X5" s="11" t="s">
        <v>5</v>
      </c>
      <c r="Y5" s="29" t="s">
        <v>4</v>
      </c>
      <c r="Z5" s="29" t="s">
        <v>4</v>
      </c>
      <c r="AA5" s="11" t="s">
        <v>5</v>
      </c>
      <c r="AB5" s="11" t="s">
        <v>5</v>
      </c>
      <c r="AC5" s="29" t="s">
        <v>4</v>
      </c>
      <c r="AD5" s="29" t="s">
        <v>4</v>
      </c>
      <c r="AE5" s="29" t="s">
        <v>4</v>
      </c>
      <c r="AF5" s="29" t="s">
        <v>4</v>
      </c>
      <c r="AG5" s="29" t="s">
        <v>4</v>
      </c>
    </row>
    <row r="6" ht="50.25" customHeight="1">
      <c r="A6" s="30"/>
      <c r="B6" s="28" t="s">
        <v>15</v>
      </c>
      <c r="C6" s="31"/>
      <c r="D6" s="29"/>
      <c r="E6" s="17"/>
      <c r="F6" s="32"/>
      <c r="G6" s="29"/>
      <c r="H6" s="11"/>
      <c r="I6" s="11"/>
      <c r="J6" s="11"/>
      <c r="K6" s="29"/>
      <c r="L6" s="11"/>
      <c r="M6" s="17"/>
      <c r="N6" s="17"/>
      <c r="O6" s="17"/>
      <c r="P6" s="31"/>
      <c r="Q6" s="11"/>
      <c r="R6" s="32"/>
      <c r="S6" s="31"/>
      <c r="T6" s="29"/>
      <c r="U6" s="31"/>
      <c r="V6" s="31"/>
      <c r="W6" s="11"/>
      <c r="X6" s="29"/>
      <c r="Y6" s="30"/>
      <c r="Z6" s="29"/>
      <c r="AA6" s="11"/>
      <c r="AB6" s="11" t="s">
        <v>23</v>
      </c>
      <c r="AC6" s="11"/>
      <c r="AD6" s="33"/>
      <c r="AE6" s="33"/>
      <c r="AF6" s="32"/>
      <c r="AG6" s="11" t="s">
        <v>23</v>
      </c>
    </row>
    <row r="7" ht="50.25" customHeight="1">
      <c r="A7" s="30"/>
      <c r="B7" s="24" t="s">
        <v>24</v>
      </c>
      <c r="C7" s="11"/>
      <c r="D7" s="24" t="s">
        <v>21</v>
      </c>
      <c r="E7" s="32"/>
      <c r="F7" s="32"/>
      <c r="G7" s="11"/>
      <c r="H7" s="32"/>
      <c r="I7" s="24" t="s">
        <v>21</v>
      </c>
      <c r="J7" s="32"/>
      <c r="K7" s="11"/>
      <c r="L7" s="24"/>
      <c r="M7" s="24"/>
      <c r="N7" s="24" t="s">
        <v>25</v>
      </c>
      <c r="O7" s="32"/>
      <c r="P7" s="24"/>
      <c r="Q7" s="29"/>
      <c r="R7" s="11"/>
      <c r="S7" s="24"/>
      <c r="T7" s="24"/>
      <c r="U7" s="33"/>
      <c r="V7" s="30"/>
      <c r="W7" s="24"/>
      <c r="X7" s="24" t="s">
        <v>21</v>
      </c>
      <c r="Y7" s="33"/>
      <c r="Z7" s="29"/>
      <c r="AA7" s="33"/>
      <c r="AB7" s="24" t="s">
        <v>25</v>
      </c>
      <c r="AC7" s="33"/>
      <c r="AD7" s="24"/>
      <c r="AE7" s="33"/>
      <c r="AF7" s="33"/>
      <c r="AG7" s="30"/>
    </row>
    <row r="8" ht="50.25" customHeight="1">
      <c r="A8" s="30"/>
      <c r="B8" s="11" t="s">
        <v>11</v>
      </c>
      <c r="C8" s="29"/>
      <c r="D8" s="19" t="s">
        <v>8</v>
      </c>
      <c r="E8" s="30"/>
      <c r="F8" s="19"/>
      <c r="G8" s="19"/>
      <c r="H8" s="33"/>
      <c r="I8" s="19"/>
      <c r="J8" s="19"/>
      <c r="K8" s="34"/>
      <c r="L8" s="33"/>
      <c r="M8" s="33"/>
      <c r="N8" s="30"/>
      <c r="O8" s="33"/>
      <c r="P8" s="33"/>
      <c r="Q8" s="29"/>
      <c r="R8" s="18"/>
      <c r="S8" s="33"/>
      <c r="T8" s="33"/>
      <c r="U8" s="33"/>
      <c r="V8" s="30"/>
      <c r="W8" s="33"/>
      <c r="X8" s="33"/>
      <c r="Y8" s="33"/>
      <c r="Z8" s="29"/>
      <c r="AA8" s="33"/>
      <c r="AB8" s="33"/>
      <c r="AC8" s="33"/>
      <c r="AD8" s="35"/>
      <c r="AE8" s="33"/>
      <c r="AF8" s="33"/>
      <c r="AG8" s="33"/>
    </row>
    <row r="9" ht="50.2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8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 ht="50.2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8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ht="50.25" customHeight="1">
      <c r="A11" s="28" t="s">
        <v>26</v>
      </c>
      <c r="B11" s="28" t="s">
        <v>27</v>
      </c>
      <c r="C11" s="29" t="s">
        <v>4</v>
      </c>
      <c r="D11" s="29" t="s">
        <v>4</v>
      </c>
      <c r="E11" s="29" t="s">
        <v>4</v>
      </c>
      <c r="F11" s="11" t="s">
        <v>5</v>
      </c>
      <c r="G11" s="11" t="s">
        <v>5</v>
      </c>
      <c r="H11" s="29" t="s">
        <v>4</v>
      </c>
      <c r="I11" s="29" t="s">
        <v>4</v>
      </c>
      <c r="J11" s="11" t="s">
        <v>5</v>
      </c>
      <c r="K11" s="29" t="s">
        <v>4</v>
      </c>
      <c r="L11" s="29" t="s">
        <v>4</v>
      </c>
      <c r="M11" s="29" t="s">
        <v>4</v>
      </c>
      <c r="N11" s="11" t="s">
        <v>5</v>
      </c>
      <c r="O11" s="29" t="s">
        <v>4</v>
      </c>
      <c r="P11" s="29" t="s">
        <v>4</v>
      </c>
      <c r="Q11" s="11" t="s">
        <v>5</v>
      </c>
      <c r="R11" s="29" t="s">
        <v>4</v>
      </c>
      <c r="S11" s="29" t="s">
        <v>4</v>
      </c>
      <c r="T11" s="29" t="s">
        <v>4</v>
      </c>
      <c r="U11" s="11" t="s">
        <v>5</v>
      </c>
      <c r="V11" s="29" t="s">
        <v>4</v>
      </c>
      <c r="W11" s="29" t="s">
        <v>4</v>
      </c>
      <c r="X11" s="29" t="s">
        <v>4</v>
      </c>
      <c r="Y11" s="11" t="s">
        <v>5</v>
      </c>
      <c r="Z11" s="29" t="s">
        <v>4</v>
      </c>
      <c r="AA11" s="29" t="s">
        <v>4</v>
      </c>
      <c r="AB11" s="11" t="s">
        <v>5</v>
      </c>
      <c r="AC11" s="29" t="s">
        <v>4</v>
      </c>
      <c r="AD11" s="29" t="s">
        <v>4</v>
      </c>
      <c r="AE11" s="29" t="s">
        <v>4</v>
      </c>
      <c r="AF11" s="29" t="s">
        <v>4</v>
      </c>
      <c r="AG11" s="29" t="s">
        <v>4</v>
      </c>
    </row>
    <row r="12" ht="50.25" customHeight="1">
      <c r="A12" s="33"/>
      <c r="B12" s="36" t="s">
        <v>28</v>
      </c>
      <c r="C12" s="17"/>
      <c r="D12" s="17"/>
      <c r="E12" s="29"/>
      <c r="F12" s="11"/>
      <c r="G12" s="11"/>
      <c r="H12" s="29"/>
      <c r="I12" s="11"/>
      <c r="J12" s="11"/>
      <c r="K12" s="11"/>
      <c r="L12" s="11"/>
      <c r="M12" s="11"/>
      <c r="N12" s="11"/>
      <c r="O12" s="29"/>
      <c r="P12" s="11"/>
      <c r="Q12" s="11"/>
      <c r="R12" s="11"/>
      <c r="S12" s="11"/>
      <c r="T12" s="11"/>
      <c r="U12" s="11"/>
      <c r="V12" s="29"/>
      <c r="W12" s="11"/>
      <c r="X12" s="11"/>
      <c r="Y12" s="11"/>
      <c r="Z12" s="11"/>
      <c r="AA12" s="11"/>
      <c r="AB12" s="11"/>
      <c r="AC12" s="29"/>
      <c r="AD12" s="17"/>
      <c r="AE12" s="17"/>
      <c r="AF12" s="17"/>
      <c r="AG12" s="17"/>
    </row>
    <row r="13" ht="50.25" customHeight="1">
      <c r="A13" s="33"/>
      <c r="B13" s="24" t="s">
        <v>29</v>
      </c>
      <c r="C13" s="29"/>
      <c r="D13" s="33"/>
      <c r="E13" s="33"/>
      <c r="F13" s="11"/>
      <c r="G13" s="29" t="s">
        <v>4</v>
      </c>
      <c r="H13" s="29"/>
      <c r="I13" s="11"/>
      <c r="J13" s="11"/>
      <c r="K13" s="11"/>
      <c r="L13" s="11"/>
      <c r="M13" s="11"/>
      <c r="N13" s="29" t="s">
        <v>4</v>
      </c>
      <c r="O13" s="29"/>
      <c r="P13" s="29"/>
      <c r="Q13" s="11"/>
      <c r="R13" s="11"/>
      <c r="S13" s="11"/>
      <c r="T13" s="11"/>
      <c r="U13" s="29" t="s">
        <v>4</v>
      </c>
      <c r="V13" s="29"/>
      <c r="W13" s="11"/>
      <c r="X13" s="11"/>
      <c r="Y13" s="11"/>
      <c r="Z13" s="11"/>
      <c r="AA13" s="11"/>
      <c r="AB13" s="29" t="s">
        <v>4</v>
      </c>
      <c r="AC13" s="29"/>
      <c r="AD13" s="29"/>
      <c r="AE13" s="29"/>
      <c r="AF13" s="33"/>
      <c r="AG13" s="29"/>
    </row>
    <row r="14" ht="50.25" customHeight="1">
      <c r="A14" s="33"/>
      <c r="B14" s="28" t="s">
        <v>15</v>
      </c>
      <c r="C14" s="29"/>
      <c r="D14" s="30"/>
      <c r="E14" s="29"/>
      <c r="F14" s="11" t="s">
        <v>23</v>
      </c>
      <c r="G14" s="29"/>
      <c r="H14" s="29"/>
      <c r="I14" s="29"/>
      <c r="J14" s="11" t="s">
        <v>23</v>
      </c>
      <c r="K14" s="11"/>
      <c r="L14" s="29"/>
      <c r="M14" s="29"/>
      <c r="N14" s="33"/>
      <c r="O14" s="29"/>
      <c r="P14" s="29"/>
      <c r="Q14" s="11" t="s">
        <v>23</v>
      </c>
      <c r="R14" s="19" t="s">
        <v>8</v>
      </c>
      <c r="S14" s="29"/>
      <c r="T14" s="19"/>
      <c r="U14" s="11"/>
      <c r="V14" s="19"/>
      <c r="W14" s="19"/>
      <c r="X14" s="19"/>
      <c r="Y14" s="11" t="s">
        <v>23</v>
      </c>
      <c r="Z14" s="19"/>
      <c r="AA14" s="33"/>
      <c r="AB14" s="33"/>
      <c r="AC14" s="33"/>
      <c r="AD14" s="33"/>
      <c r="AE14" s="33"/>
      <c r="AF14" s="33"/>
      <c r="AG14" s="33"/>
    </row>
    <row r="15" ht="50.25" customHeight="1">
      <c r="A15" s="33"/>
      <c r="B15" s="24" t="s">
        <v>24</v>
      </c>
      <c r="C15" s="33"/>
      <c r="D15" s="33"/>
      <c r="E15" s="33"/>
      <c r="F15" s="24" t="s">
        <v>25</v>
      </c>
      <c r="G15" s="33"/>
      <c r="H15" s="33"/>
      <c r="I15" s="33"/>
      <c r="J15" s="24" t="s">
        <v>25</v>
      </c>
      <c r="K15" s="24"/>
      <c r="L15" s="33"/>
      <c r="M15" s="33"/>
      <c r="N15" s="33"/>
      <c r="O15" s="33"/>
      <c r="P15" s="33"/>
      <c r="Q15" s="24" t="s">
        <v>25</v>
      </c>
      <c r="R15" s="33"/>
      <c r="S15" s="33"/>
      <c r="T15" s="33"/>
      <c r="U15" s="24"/>
      <c r="V15" s="33"/>
      <c r="W15" s="33"/>
      <c r="X15" s="33"/>
      <c r="Y15" s="24" t="s">
        <v>25</v>
      </c>
      <c r="Z15" s="33"/>
      <c r="AA15" s="33"/>
      <c r="AB15" s="33"/>
      <c r="AC15" s="33"/>
      <c r="AD15" s="33"/>
      <c r="AE15" s="33"/>
      <c r="AF15" s="33"/>
      <c r="AG15" s="33"/>
    </row>
    <row r="16" ht="50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ht="50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ht="50.25" customHeight="1"/>
    <row r="19" ht="50.25" customHeight="1"/>
    <row r="20" ht="50.25" customHeight="1"/>
    <row r="21" ht="50.25" customHeight="1"/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</row>
  </sheetData>
  <mergeCells count="3">
    <mergeCell ref="A1:AG1"/>
    <mergeCell ref="A2:A3"/>
    <mergeCell ref="B2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>
        <v>2026.0</v>
      </c>
      <c r="B1" s="37">
        <v>7.0</v>
      </c>
    </row>
    <row r="4">
      <c r="B4" s="38" t="str">
        <f>IFERROR(__xludf.DUMMYFUNCTION("LET(
 Y, IFNA(VALUE(A1), IFNA(VALUE(REGEXEXTRACT(A1,""(\d{4})"")), 0)),
 M, IFNA(VALUE(B1), IFNA(VALUE(REGEXEXTRACT(B1,""(\d{1,2})"")), 0)),
 valid, AND(Y&gt;=1900, M&gt;=1, M&lt;=12),
 IF(NOT(valid),
   ""請在 A1/B1 輸入有效年/月（例如 2025 與 8）"",
   VSTACK(
     HSTACK("""&amp;"日期(號)"", SEQUENCE(1, DAY(EOMONTH(DATE(Y,M,1),0)), 1, 1)),
     HSTACK(""星期"",
       MAP(SEQUENCE(1, DAY(EOMONTH(DATE(Y,M,1),0)), DATE(Y,M,1), 1),
           LAMBDA(d, CHOOSE(WEEKDAY(d,2),""一"",""二"",""三"",""四"",""五"",""六"",""日"")))
     )
   )
 )
)
"),"日期(號)")</f>
        <v>日期(號)</v>
      </c>
      <c r="C4" s="38">
        <f>IFERROR(__xludf.DUMMYFUNCTION("""COMPUTED_VALUE"""),1.0)</f>
        <v>1</v>
      </c>
      <c r="D4" s="38">
        <f>IFERROR(__xludf.DUMMYFUNCTION("""COMPUTED_VALUE"""),2.0)</f>
        <v>2</v>
      </c>
      <c r="E4" s="38">
        <f>IFERROR(__xludf.DUMMYFUNCTION("""COMPUTED_VALUE"""),3.0)</f>
        <v>3</v>
      </c>
      <c r="F4" s="38">
        <f>IFERROR(__xludf.DUMMYFUNCTION("""COMPUTED_VALUE"""),4.0)</f>
        <v>4</v>
      </c>
      <c r="G4" s="38">
        <f>IFERROR(__xludf.DUMMYFUNCTION("""COMPUTED_VALUE"""),5.0)</f>
        <v>5</v>
      </c>
      <c r="H4" s="38">
        <f>IFERROR(__xludf.DUMMYFUNCTION("""COMPUTED_VALUE"""),6.0)</f>
        <v>6</v>
      </c>
      <c r="I4" s="38">
        <f>IFERROR(__xludf.DUMMYFUNCTION("""COMPUTED_VALUE"""),7.0)</f>
        <v>7</v>
      </c>
      <c r="J4" s="38">
        <f>IFERROR(__xludf.DUMMYFUNCTION("""COMPUTED_VALUE"""),8.0)</f>
        <v>8</v>
      </c>
      <c r="K4" s="38">
        <f>IFERROR(__xludf.DUMMYFUNCTION("""COMPUTED_VALUE"""),9.0)</f>
        <v>9</v>
      </c>
      <c r="L4" s="38">
        <f>IFERROR(__xludf.DUMMYFUNCTION("""COMPUTED_VALUE"""),10.0)</f>
        <v>10</v>
      </c>
      <c r="M4" s="38">
        <f>IFERROR(__xludf.DUMMYFUNCTION("""COMPUTED_VALUE"""),11.0)</f>
        <v>11</v>
      </c>
      <c r="N4" s="38">
        <f>IFERROR(__xludf.DUMMYFUNCTION("""COMPUTED_VALUE"""),12.0)</f>
        <v>12</v>
      </c>
      <c r="O4" s="38">
        <f>IFERROR(__xludf.DUMMYFUNCTION("""COMPUTED_VALUE"""),13.0)</f>
        <v>13</v>
      </c>
      <c r="P4" s="38">
        <f>IFERROR(__xludf.DUMMYFUNCTION("""COMPUTED_VALUE"""),14.0)</f>
        <v>14</v>
      </c>
      <c r="Q4" s="38">
        <f>IFERROR(__xludf.DUMMYFUNCTION("""COMPUTED_VALUE"""),15.0)</f>
        <v>15</v>
      </c>
      <c r="R4" s="38">
        <f>IFERROR(__xludf.DUMMYFUNCTION("""COMPUTED_VALUE"""),16.0)</f>
        <v>16</v>
      </c>
      <c r="S4" s="38">
        <f>IFERROR(__xludf.DUMMYFUNCTION("""COMPUTED_VALUE"""),17.0)</f>
        <v>17</v>
      </c>
      <c r="T4" s="38">
        <f>IFERROR(__xludf.DUMMYFUNCTION("""COMPUTED_VALUE"""),18.0)</f>
        <v>18</v>
      </c>
      <c r="U4" s="38">
        <f>IFERROR(__xludf.DUMMYFUNCTION("""COMPUTED_VALUE"""),19.0)</f>
        <v>19</v>
      </c>
      <c r="V4" s="38">
        <f>IFERROR(__xludf.DUMMYFUNCTION("""COMPUTED_VALUE"""),20.0)</f>
        <v>20</v>
      </c>
      <c r="W4" s="38">
        <f>IFERROR(__xludf.DUMMYFUNCTION("""COMPUTED_VALUE"""),21.0)</f>
        <v>21</v>
      </c>
      <c r="X4" s="38">
        <f>IFERROR(__xludf.DUMMYFUNCTION("""COMPUTED_VALUE"""),22.0)</f>
        <v>22</v>
      </c>
      <c r="Y4" s="38">
        <f>IFERROR(__xludf.DUMMYFUNCTION("""COMPUTED_VALUE"""),23.0)</f>
        <v>23</v>
      </c>
      <c r="Z4" s="38">
        <f>IFERROR(__xludf.DUMMYFUNCTION("""COMPUTED_VALUE"""),24.0)</f>
        <v>24</v>
      </c>
      <c r="AA4" s="38">
        <f>IFERROR(__xludf.DUMMYFUNCTION("""COMPUTED_VALUE"""),25.0)</f>
        <v>25</v>
      </c>
      <c r="AB4" s="38">
        <f>IFERROR(__xludf.DUMMYFUNCTION("""COMPUTED_VALUE"""),26.0)</f>
        <v>26</v>
      </c>
      <c r="AC4" s="38">
        <f>IFERROR(__xludf.DUMMYFUNCTION("""COMPUTED_VALUE"""),27.0)</f>
        <v>27</v>
      </c>
      <c r="AD4" s="38">
        <f>IFERROR(__xludf.DUMMYFUNCTION("""COMPUTED_VALUE"""),28.0)</f>
        <v>28</v>
      </c>
      <c r="AE4" s="38">
        <f>IFERROR(__xludf.DUMMYFUNCTION("""COMPUTED_VALUE"""),29.0)</f>
        <v>29</v>
      </c>
      <c r="AF4" s="38">
        <f>IFERROR(__xludf.DUMMYFUNCTION("""COMPUTED_VALUE"""),30.0)</f>
        <v>30</v>
      </c>
      <c r="AG4" s="38">
        <f>IFERROR(__xludf.DUMMYFUNCTION("""COMPUTED_VALUE"""),31.0)</f>
        <v>31</v>
      </c>
    </row>
    <row r="5">
      <c r="B5" s="38" t="str">
        <f>IFERROR(__xludf.DUMMYFUNCTION("""COMPUTED_VALUE"""),"星期")</f>
        <v>星期</v>
      </c>
      <c r="C5" s="38" t="str">
        <f>IFERROR(__xludf.DUMMYFUNCTION("""COMPUTED_VALUE"""),"三")</f>
        <v>三</v>
      </c>
      <c r="D5" s="38" t="str">
        <f>IFERROR(__xludf.DUMMYFUNCTION("""COMPUTED_VALUE"""),"四")</f>
        <v>四</v>
      </c>
      <c r="E5" s="38" t="str">
        <f>IFERROR(__xludf.DUMMYFUNCTION("""COMPUTED_VALUE"""),"五")</f>
        <v>五</v>
      </c>
      <c r="F5" s="38" t="str">
        <f>IFERROR(__xludf.DUMMYFUNCTION("""COMPUTED_VALUE"""),"六")</f>
        <v>六</v>
      </c>
      <c r="G5" s="38" t="str">
        <f>IFERROR(__xludf.DUMMYFUNCTION("""COMPUTED_VALUE"""),"日")</f>
        <v>日</v>
      </c>
      <c r="H5" s="38" t="str">
        <f>IFERROR(__xludf.DUMMYFUNCTION("""COMPUTED_VALUE"""),"一")</f>
        <v>一</v>
      </c>
      <c r="I5" s="38" t="str">
        <f>IFERROR(__xludf.DUMMYFUNCTION("""COMPUTED_VALUE"""),"二")</f>
        <v>二</v>
      </c>
      <c r="J5" s="38" t="str">
        <f>IFERROR(__xludf.DUMMYFUNCTION("""COMPUTED_VALUE"""),"三")</f>
        <v>三</v>
      </c>
      <c r="K5" s="38" t="str">
        <f>IFERROR(__xludf.DUMMYFUNCTION("""COMPUTED_VALUE"""),"四")</f>
        <v>四</v>
      </c>
      <c r="L5" s="38" t="str">
        <f>IFERROR(__xludf.DUMMYFUNCTION("""COMPUTED_VALUE"""),"五")</f>
        <v>五</v>
      </c>
      <c r="M5" s="38" t="str">
        <f>IFERROR(__xludf.DUMMYFUNCTION("""COMPUTED_VALUE"""),"六")</f>
        <v>六</v>
      </c>
      <c r="N5" s="38" t="str">
        <f>IFERROR(__xludf.DUMMYFUNCTION("""COMPUTED_VALUE"""),"日")</f>
        <v>日</v>
      </c>
      <c r="O5" s="38" t="str">
        <f>IFERROR(__xludf.DUMMYFUNCTION("""COMPUTED_VALUE"""),"一")</f>
        <v>一</v>
      </c>
      <c r="P5" s="38" t="str">
        <f>IFERROR(__xludf.DUMMYFUNCTION("""COMPUTED_VALUE"""),"二")</f>
        <v>二</v>
      </c>
      <c r="Q5" s="38" t="str">
        <f>IFERROR(__xludf.DUMMYFUNCTION("""COMPUTED_VALUE"""),"三")</f>
        <v>三</v>
      </c>
      <c r="R5" s="38" t="str">
        <f>IFERROR(__xludf.DUMMYFUNCTION("""COMPUTED_VALUE"""),"四")</f>
        <v>四</v>
      </c>
      <c r="S5" s="38" t="str">
        <f>IFERROR(__xludf.DUMMYFUNCTION("""COMPUTED_VALUE"""),"五")</f>
        <v>五</v>
      </c>
      <c r="T5" s="38" t="str">
        <f>IFERROR(__xludf.DUMMYFUNCTION("""COMPUTED_VALUE"""),"六")</f>
        <v>六</v>
      </c>
      <c r="U5" s="38" t="str">
        <f>IFERROR(__xludf.DUMMYFUNCTION("""COMPUTED_VALUE"""),"日")</f>
        <v>日</v>
      </c>
      <c r="V5" s="38" t="str">
        <f>IFERROR(__xludf.DUMMYFUNCTION("""COMPUTED_VALUE"""),"一")</f>
        <v>一</v>
      </c>
      <c r="W5" s="38" t="str">
        <f>IFERROR(__xludf.DUMMYFUNCTION("""COMPUTED_VALUE"""),"二")</f>
        <v>二</v>
      </c>
      <c r="X5" s="38" t="str">
        <f>IFERROR(__xludf.DUMMYFUNCTION("""COMPUTED_VALUE"""),"三")</f>
        <v>三</v>
      </c>
      <c r="Y5" s="38" t="str">
        <f>IFERROR(__xludf.DUMMYFUNCTION("""COMPUTED_VALUE"""),"四")</f>
        <v>四</v>
      </c>
      <c r="Z5" s="38" t="str">
        <f>IFERROR(__xludf.DUMMYFUNCTION("""COMPUTED_VALUE"""),"五")</f>
        <v>五</v>
      </c>
      <c r="AA5" s="38" t="str">
        <f>IFERROR(__xludf.DUMMYFUNCTION("""COMPUTED_VALUE"""),"六")</f>
        <v>六</v>
      </c>
      <c r="AB5" s="38" t="str">
        <f>IFERROR(__xludf.DUMMYFUNCTION("""COMPUTED_VALUE"""),"日")</f>
        <v>日</v>
      </c>
      <c r="AC5" s="38" t="str">
        <f>IFERROR(__xludf.DUMMYFUNCTION("""COMPUTED_VALUE"""),"一")</f>
        <v>一</v>
      </c>
      <c r="AD5" s="38" t="str">
        <f>IFERROR(__xludf.DUMMYFUNCTION("""COMPUTED_VALUE"""),"二")</f>
        <v>二</v>
      </c>
      <c r="AE5" s="38" t="str">
        <f>IFERROR(__xludf.DUMMYFUNCTION("""COMPUTED_VALUE"""),"三")</f>
        <v>三</v>
      </c>
      <c r="AF5" s="38" t="str">
        <f>IFERROR(__xludf.DUMMYFUNCTION("""COMPUTED_VALUE"""),"四")</f>
        <v>四</v>
      </c>
      <c r="AG5" s="38" t="str">
        <f>IFERROR(__xludf.DUMMYFUNCTION("""COMPUTED_VALUE"""),"五")</f>
        <v>五</v>
      </c>
    </row>
    <row r="7">
      <c r="B7" s="38" t="str">
        <f>"悅禾莊園Spa "&amp;TEXT(DATE(A1,B1,1),"M月")&amp;" 班表"
</f>
        <v>悅禾莊園Spa 7月 班表</v>
      </c>
    </row>
    <row r="10">
      <c r="B10" s="38" t="str">
        <f t="array" ref="B10:C41">VSTACK( HSTACK("日期(號)","星期"), HSTACK( SEQUENCE(DAY(EOMONTH(DATE(A1,B1,1),0)),1), MAP(SEQUENCE(DAY(EOMONTH(DATE(A1,B1,1),0)),1,DATE(A1,B1,1),1), LAMBDA(d,"星期"&amp;SWITCH(WEEKDAY(d,2),1,"一",2,"二",3,"三",4,"四",5,"五",6,"六",7,"日"))) ) )</f>
        <v>日期(號)</v>
      </c>
      <c r="C10" s="38" t="s">
        <v>30</v>
      </c>
    </row>
    <row r="11">
      <c r="B11" s="38">
        <v>1.0</v>
      </c>
      <c r="C11" s="38" t="s">
        <v>31</v>
      </c>
    </row>
    <row r="12">
      <c r="B12" s="38">
        <v>2.0</v>
      </c>
      <c r="C12" s="38" t="s">
        <v>32</v>
      </c>
    </row>
    <row r="13">
      <c r="B13" s="38">
        <v>3.0</v>
      </c>
      <c r="C13" s="38" t="s">
        <v>33</v>
      </c>
    </row>
    <row r="14">
      <c r="B14" s="38">
        <v>4.0</v>
      </c>
      <c r="C14" s="38" t="s">
        <v>34</v>
      </c>
    </row>
    <row r="15">
      <c r="B15" s="38">
        <v>5.0</v>
      </c>
      <c r="C15" s="38" t="s">
        <v>35</v>
      </c>
    </row>
    <row r="16">
      <c r="B16" s="38">
        <v>6.0</v>
      </c>
      <c r="C16" s="38" t="s">
        <v>36</v>
      </c>
    </row>
    <row r="17">
      <c r="B17" s="38">
        <v>7.0</v>
      </c>
      <c r="C17" s="38" t="s">
        <v>37</v>
      </c>
    </row>
    <row r="18">
      <c r="B18" s="38">
        <v>8.0</v>
      </c>
      <c r="C18" s="38" t="s">
        <v>31</v>
      </c>
    </row>
    <row r="19">
      <c r="B19" s="38">
        <v>9.0</v>
      </c>
      <c r="C19" s="38" t="s">
        <v>32</v>
      </c>
    </row>
    <row r="20">
      <c r="B20" s="38">
        <v>10.0</v>
      </c>
      <c r="C20" s="38" t="s">
        <v>33</v>
      </c>
    </row>
    <row r="21">
      <c r="B21" s="38">
        <v>11.0</v>
      </c>
      <c r="C21" s="38" t="s">
        <v>34</v>
      </c>
    </row>
    <row r="22">
      <c r="B22" s="38">
        <v>12.0</v>
      </c>
      <c r="C22" s="38" t="s">
        <v>35</v>
      </c>
    </row>
    <row r="23">
      <c r="B23" s="38">
        <v>13.0</v>
      </c>
      <c r="C23" s="38" t="s">
        <v>36</v>
      </c>
    </row>
    <row r="24">
      <c r="B24" s="38">
        <v>14.0</v>
      </c>
      <c r="C24" s="38" t="s">
        <v>37</v>
      </c>
    </row>
    <row r="25">
      <c r="B25" s="38">
        <v>15.0</v>
      </c>
      <c r="C25" s="38" t="s">
        <v>31</v>
      </c>
    </row>
    <row r="26">
      <c r="B26" s="38">
        <v>16.0</v>
      </c>
      <c r="C26" s="38" t="s">
        <v>32</v>
      </c>
    </row>
    <row r="27">
      <c r="B27" s="38">
        <v>17.0</v>
      </c>
      <c r="C27" s="38" t="s">
        <v>33</v>
      </c>
    </row>
    <row r="28">
      <c r="B28" s="38">
        <v>18.0</v>
      </c>
      <c r="C28" s="38" t="s">
        <v>34</v>
      </c>
    </row>
    <row r="29">
      <c r="B29" s="38">
        <v>19.0</v>
      </c>
      <c r="C29" s="38" t="s">
        <v>35</v>
      </c>
    </row>
    <row r="30">
      <c r="B30" s="38">
        <v>20.0</v>
      </c>
      <c r="C30" s="38" t="s">
        <v>36</v>
      </c>
    </row>
    <row r="31">
      <c r="B31" s="38">
        <v>21.0</v>
      </c>
      <c r="C31" s="38" t="s">
        <v>37</v>
      </c>
    </row>
    <row r="32">
      <c r="B32" s="38">
        <v>22.0</v>
      </c>
      <c r="C32" s="38" t="s">
        <v>31</v>
      </c>
    </row>
    <row r="33">
      <c r="B33" s="38">
        <v>23.0</v>
      </c>
      <c r="C33" s="38" t="s">
        <v>32</v>
      </c>
    </row>
    <row r="34">
      <c r="B34" s="38">
        <v>24.0</v>
      </c>
      <c r="C34" s="38" t="s">
        <v>33</v>
      </c>
    </row>
    <row r="35">
      <c r="B35" s="38">
        <v>25.0</v>
      </c>
      <c r="C35" s="38" t="s">
        <v>34</v>
      </c>
    </row>
    <row r="36">
      <c r="B36" s="38">
        <v>26.0</v>
      </c>
      <c r="C36" s="38" t="s">
        <v>35</v>
      </c>
    </row>
    <row r="37">
      <c r="B37" s="38">
        <v>27.0</v>
      </c>
      <c r="C37" s="38" t="s">
        <v>36</v>
      </c>
    </row>
    <row r="38">
      <c r="B38" s="38">
        <v>28.0</v>
      </c>
      <c r="C38" s="38" t="s">
        <v>37</v>
      </c>
    </row>
    <row r="39">
      <c r="B39" s="38">
        <v>29.0</v>
      </c>
      <c r="C39" s="38" t="s">
        <v>31</v>
      </c>
    </row>
    <row r="40">
      <c r="B40" s="38">
        <v>30.0</v>
      </c>
      <c r="C40" s="38" t="s">
        <v>32</v>
      </c>
    </row>
    <row r="41">
      <c r="B41" s="38">
        <v>31.0</v>
      </c>
      <c r="C41" s="38" t="s">
        <v>33</v>
      </c>
    </row>
  </sheetData>
  <drawing r:id="rId1"/>
</worksheet>
</file>